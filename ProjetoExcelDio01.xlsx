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dows-SSD\Documents\CursoExcelSantanderDio\"/>
    </mc:Choice>
  </mc:AlternateContent>
  <xr:revisionPtr revIDLastSave="0" documentId="10_ncr:8100000_{D5924DC5-D27E-47DB-ACBF-34CA27CE4866}" xr6:coauthVersionLast="32" xr6:coauthVersionMax="32" xr10:uidLastSave="{00000000-0000-0000-0000-000000000000}"/>
  <bookViews>
    <workbookView xWindow="0" yWindow="0" windowWidth="28800" windowHeight="12225" tabRatio="296" xr2:uid="{5BB5E157-E8E3-44BC-81E4-404E798CA606}"/>
  </bookViews>
  <sheets>
    <sheet name="APP" sheetId="1" r:id="rId1"/>
    <sheet name="Planilha 2" sheetId="3" r:id="rId2"/>
  </sheets>
  <definedNames>
    <definedName name="APORTES">APP!$D$14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A15" i="3"/>
  <c r="C34" i="1" s="1"/>
  <c r="A16" i="3"/>
  <c r="A17" i="3"/>
  <c r="A18" i="3"/>
  <c r="A19" i="3"/>
  <c r="A20" i="3"/>
  <c r="A3" i="3"/>
  <c r="A10" i="3"/>
  <c r="A11" i="3"/>
  <c r="A12" i="3"/>
  <c r="A13" i="3"/>
  <c r="A14" i="3"/>
  <c r="A9" i="3"/>
  <c r="A4" i="3"/>
  <c r="A5" i="3"/>
  <c r="A6" i="3"/>
  <c r="A7" i="3"/>
  <c r="A8" i="3"/>
  <c r="D14" i="1"/>
  <c r="C28" i="1" s="1"/>
  <c r="D17" i="1" l="1"/>
  <c r="C25" i="1"/>
  <c r="C21" i="1"/>
  <c r="D21" i="1" s="1"/>
  <c r="C23" i="1"/>
  <c r="D23" i="1" s="1"/>
  <c r="C33" i="1"/>
  <c r="D33" i="1" s="1"/>
  <c r="C31" i="1"/>
  <c r="D31" i="1" s="1"/>
  <c r="C36" i="1"/>
  <c r="D36" i="1" s="1"/>
  <c r="C35" i="1"/>
  <c r="D35" i="1" s="1"/>
  <c r="C32" i="1"/>
  <c r="D32" i="1" s="1"/>
  <c r="D34" i="1"/>
  <c r="C24" i="1"/>
  <c r="D24" i="1" s="1"/>
  <c r="C22" i="1"/>
  <c r="D22" i="1" s="1"/>
  <c r="D18" i="1"/>
  <c r="D25" i="1"/>
  <c r="D37" i="1" l="1"/>
</calcChain>
</file>

<file path=xl/sharedStrings.xml><?xml version="1.0" encoding="utf-8"?>
<sst xmlns="http://schemas.openxmlformats.org/spreadsheetml/2006/main" count="69" uniqueCount="34">
  <si>
    <t>INVESTIMENTO MENSAL</t>
  </si>
  <si>
    <t>CENÁRIOS</t>
  </si>
  <si>
    <t>DIVIDENDOS</t>
  </si>
  <si>
    <t>CONFIGURAÇÕES</t>
  </si>
  <si>
    <t>SALÁRIO</t>
  </si>
  <si>
    <t>RENDIMENTO DA CARTEIRA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</si>
  <si>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</si>
  <si>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</si>
  <si>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</si>
  <si>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</si>
  <si>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</si>
  <si>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</si>
  <si>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</si>
  <si>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</si>
  <si>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</si>
  <si>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</si>
  <si>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</si>
  <si>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</si>
  <si>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</si>
  <si>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</si>
  <si>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TIPOS DE FII</t>
  </si>
  <si>
    <t>PERCENTUAL</t>
  </si>
  <si>
    <t>CHAVE</t>
  </si>
  <si>
    <t>SUGESTÃO DE INVESTIMENTO (30%)</t>
  </si>
  <si>
    <t>POR QUANTOS ANOS?</t>
  </si>
  <si>
    <t>QUANTO INVESTIR POR MÊS?</t>
  </si>
  <si>
    <t>TAXA DE RENDIMENTO MENSAL?</t>
  </si>
  <si>
    <t>PATRIMÔNIO ACUMULADO?</t>
  </si>
  <si>
    <t>DIVIDENDO MENSAIS?</t>
  </si>
  <si>
    <t>QUANTO EM 2 ANOS?</t>
  </si>
  <si>
    <t>QUANTO EM 5 ANOS?</t>
  </si>
  <si>
    <t>QUANTO EM 10 ANOS?</t>
  </si>
  <si>
    <t>QUANTO EM 20 ANOS?</t>
  </si>
  <si>
    <t>QUANTO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</si>
</sst>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7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ck">
        <color auto="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ck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ck">
        <color auto="1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5" fillId="5" borderId="8" xfId="0" applyFont="1" applyFill="1" applyBorder="1"/>
    <xf numFmtId="8" fontId="5" fillId="5" borderId="9" xfId="0" applyNumberFormat="1" applyFont="1" applyFill="1" applyBorder="1" applyAlignment="1">
      <alignment horizontal="center" vertical="center"/>
    </xf>
    <xf numFmtId="0" fontId="5" fillId="5" borderId="10" xfId="0" applyFont="1" applyFill="1" applyBorder="1"/>
    <xf numFmtId="8" fontId="5" fillId="5" borderId="11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6" fillId="5" borderId="6" xfId="0" applyFont="1" applyFill="1" applyBorder="1"/>
    <xf numFmtId="0" fontId="6" fillId="5" borderId="10" xfId="0" applyFont="1" applyFill="1" applyBorder="1"/>
    <xf numFmtId="0" fontId="0" fillId="0" borderId="0" xfId="0" applyFont="1"/>
    <xf numFmtId="167" fontId="5" fillId="5" borderId="2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0" fontId="5" fillId="5" borderId="21" xfId="0" applyFont="1" applyFill="1" applyBorder="1"/>
    <xf numFmtId="0" fontId="5" fillId="5" borderId="22" xfId="0" applyFont="1" applyFill="1" applyBorder="1"/>
    <xf numFmtId="167" fontId="6" fillId="5" borderId="14" xfId="0" applyNumberFormat="1" applyFont="1" applyFill="1" applyBorder="1" applyAlignment="1">
      <alignment horizontal="center" vertical="center"/>
    </xf>
    <xf numFmtId="167" fontId="6" fillId="5" borderId="15" xfId="0" applyNumberFormat="1" applyFont="1" applyFill="1" applyBorder="1" applyAlignment="1">
      <alignment horizontal="center" vertical="center"/>
    </xf>
    <xf numFmtId="167" fontId="6" fillId="5" borderId="16" xfId="0" applyNumberFormat="1" applyFont="1" applyFill="1" applyBorder="1" applyAlignment="1">
      <alignment horizontal="center" vertical="center"/>
    </xf>
    <xf numFmtId="167" fontId="6" fillId="5" borderId="17" xfId="0" applyNumberFormat="1" applyFont="1" applyFill="1" applyBorder="1" applyAlignment="1">
      <alignment horizontal="center" vertical="center"/>
    </xf>
    <xf numFmtId="167" fontId="6" fillId="5" borderId="18" xfId="0" applyNumberFormat="1" applyFont="1" applyFill="1" applyBorder="1" applyAlignment="1">
      <alignment horizontal="center" vertical="center"/>
    </xf>
    <xf numFmtId="167" fontId="6" fillId="5" borderId="19" xfId="0" applyNumberFormat="1" applyFont="1" applyFill="1" applyBorder="1" applyAlignment="1">
      <alignment horizontal="center" vertical="center"/>
    </xf>
    <xf numFmtId="9" fontId="5" fillId="5" borderId="9" xfId="0" applyNumberFormat="1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6" borderId="24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left" vertical="center"/>
    </xf>
    <xf numFmtId="0" fontId="3" fillId="6" borderId="25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5" fillId="2" borderId="3" xfId="0" applyFont="1" applyFill="1" applyBorder="1"/>
    <xf numFmtId="0" fontId="1" fillId="3" borderId="28" xfId="0" applyFont="1" applyFill="1" applyBorder="1"/>
    <xf numFmtId="0" fontId="1" fillId="3" borderId="3" xfId="0" applyFont="1" applyFill="1" applyBorder="1"/>
    <xf numFmtId="0" fontId="1" fillId="3" borderId="27" xfId="0" applyFont="1" applyFill="1" applyBorder="1"/>
    <xf numFmtId="9" fontId="1" fillId="3" borderId="3" xfId="0" applyNumberFormat="1" applyFont="1" applyFill="1" applyBorder="1"/>
    <xf numFmtId="9" fontId="1" fillId="3" borderId="27" xfId="0" applyNumberFormat="1" applyFont="1" applyFill="1" applyBorder="1"/>
    <xf numFmtId="9" fontId="1" fillId="3" borderId="28" xfId="0" applyNumberFormat="1" applyFont="1" applyFill="1" applyBorder="1"/>
    <xf numFmtId="0" fontId="3" fillId="6" borderId="29" xfId="0" applyFont="1" applyFill="1" applyBorder="1" applyAlignment="1">
      <alignment horizontal="left" vertical="center"/>
    </xf>
    <xf numFmtId="0" fontId="3" fillId="6" borderId="30" xfId="0" applyFont="1" applyFill="1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0" fontId="3" fillId="6" borderId="31" xfId="0" applyFont="1" applyFill="1" applyBorder="1"/>
    <xf numFmtId="0" fontId="3" fillId="6" borderId="32" xfId="0" applyFont="1" applyFill="1" applyBorder="1"/>
    <xf numFmtId="0" fontId="3" fillId="6" borderId="33" xfId="0" applyFont="1" applyFill="1" applyBorder="1" applyAlignment="1">
      <alignment horizontal="right"/>
    </xf>
    <xf numFmtId="0" fontId="5" fillId="4" borderId="34" xfId="0" applyFont="1" applyFill="1" applyBorder="1"/>
    <xf numFmtId="167" fontId="5" fillId="4" borderId="35" xfId="0" applyNumberFormat="1" applyFont="1" applyFill="1" applyBorder="1"/>
    <xf numFmtId="0" fontId="5" fillId="4" borderId="36" xfId="0" applyFont="1" applyFill="1" applyBorder="1"/>
    <xf numFmtId="0" fontId="3" fillId="6" borderId="29" xfId="0" applyFont="1" applyFill="1" applyBorder="1"/>
    <xf numFmtId="0" fontId="3" fillId="6" borderId="37" xfId="0" applyFont="1" applyFill="1" applyBorder="1" applyAlignment="1">
      <alignment horizontal="right"/>
    </xf>
    <xf numFmtId="0" fontId="3" fillId="6" borderId="12" xfId="0" applyFont="1" applyFill="1" applyBorder="1" applyAlignment="1">
      <alignment horizontal="right"/>
    </xf>
    <xf numFmtId="0" fontId="5" fillId="4" borderId="38" xfId="0" applyFont="1" applyFill="1" applyBorder="1"/>
    <xf numFmtId="0" fontId="5" fillId="4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167" fontId="5" fillId="6" borderId="46" xfId="0" applyNumberFormat="1" applyFont="1" applyFill="1" applyBorder="1"/>
    <xf numFmtId="0" fontId="5" fillId="5" borderId="47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48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5" borderId="49" xfId="0" applyFont="1" applyFill="1" applyBorder="1" applyAlignment="1">
      <alignment horizontal="left"/>
    </xf>
    <xf numFmtId="0" fontId="5" fillId="5" borderId="50" xfId="0" applyFont="1" applyFill="1" applyBorder="1" applyAlignment="1">
      <alignment horizontal="left"/>
    </xf>
    <xf numFmtId="9" fontId="5" fillId="4" borderId="39" xfId="0" applyNumberFormat="1" applyFont="1" applyFill="1" applyBorder="1" applyAlignment="1">
      <alignment horizontal="center"/>
    </xf>
    <xf numFmtId="167" fontId="5" fillId="4" borderId="40" xfId="0" applyNumberFormat="1" applyFont="1" applyFill="1" applyBorder="1" applyAlignment="1">
      <alignment horizontal="center"/>
    </xf>
    <xf numFmtId="9" fontId="5" fillId="4" borderId="42" xfId="0" applyNumberFormat="1" applyFont="1" applyFill="1" applyBorder="1" applyAlignment="1">
      <alignment horizontal="center"/>
    </xf>
    <xf numFmtId="167" fontId="5" fillId="4" borderId="4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A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APP!$C$31:$C$36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6-4033-AADA-6271D58E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581025</xdr:colOff>
      <xdr:row>0</xdr:row>
      <xdr:rowOff>95250</xdr:rowOff>
    </xdr:from>
    <xdr:to>
      <xdr:col>4</xdr:col>
      <xdr:colOff>0</xdr:colOff>
      <xdr:row>6</xdr:row>
      <xdr:rowOff>133349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ACD3065-77B0-4F2D-BFB5-E8167527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5250"/>
          <a:ext cx="5438775" cy="1181099"/>
        </a:xfrm>
        <a:prstGeom prst="rect">
          <a:avLst/>
        </a:prstGeom>
      </xdr:spPr>
    </xdr:pic>
    <xdr:clientData/>
  </xdr:twoCellAnchor>
  <xdr:twoCellAnchor>
    <xdr:from>
      <xdr:col>4</xdr:col>
      <xdr:colOff>109537</xdr:colOff>
      <xdr:row>0</xdr:row>
      <xdr:rowOff>128587</xdr:rowOff>
    </xdr:from>
    <xdr:to>
      <xdr:col>7</xdr:col>
      <xdr:colOff>338137</xdr:colOff>
      <xdr:row>14</xdr:row>
      <xdr:rowOff>42862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861E6B1-DAEC-4631-B6B3-652576ED0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C0E4-2459-4D92-9745-C5A916ADC484}">
  <dimension ref="B7:E37"/>
  <sheetViews>
    <sheetView showGridLines="0" showRowColHeaders="0" tabSelected="1" zoomScaleNormal="100" workbookViewId="0">
      <selection activeCell="K31" sqref="K31"/>
    </sheetView>
  </sheetViews>
  <sheetFormatPr defaultRowHeight="15" x14ac:dyDescent="0.25"/>
  <cols>
    <col min="2" max="2" width="35.5703125" customWidth="1"/>
    <col min="3" max="3" width="28.140625" customWidth="1"/>
    <col min="4" max="4" width="17.42578125" bestFit="1" customWidth="1"/>
    <col min="5" max="5" width="18.5703125" bestFit="1" customWidth="1"/>
    <col min="6" max="6" width="34.28515625" bestFit="1" customWidth="1"/>
    <col min="7" max="7" width="12.28515625" bestFit="1" customWidth="1"/>
  </cols>
  <sheetData>
    <row r="7" spans="2:4" ht="15.75" thickBot="1" x14ac:dyDescent="0.3"/>
    <row r="8" spans="2:4" ht="18.75" x14ac:dyDescent="0.25">
      <c r="B8" s="24" t="s">
        <v>3</v>
      </c>
      <c r="C8" s="25"/>
      <c r="D8" s="28"/>
    </row>
    <row r="9" spans="2:4" ht="15.75" x14ac:dyDescent="0.25">
      <c r="B9" s="2" t="s">
        <v>4</v>
      </c>
      <c r="C9" s="13"/>
      <c r="D9" s="6">
        <v>100000</v>
      </c>
    </row>
    <row r="10" spans="2:4" ht="15.75" x14ac:dyDescent="0.25">
      <c r="B10" s="2" t="s">
        <v>5</v>
      </c>
      <c r="C10" s="13"/>
      <c r="D10" s="21">
        <v>0.01</v>
      </c>
    </row>
    <row r="11" spans="2:4" ht="16.5" thickBot="1" x14ac:dyDescent="0.3">
      <c r="B11" s="4" t="s">
        <v>23</v>
      </c>
      <c r="C11" s="14"/>
      <c r="D11" s="22">
        <f>D9*30%</f>
        <v>30000</v>
      </c>
    </row>
    <row r="12" spans="2:4" ht="15.75" thickBot="1" x14ac:dyDescent="0.3">
      <c r="B12" s="9"/>
      <c r="C12" s="9"/>
      <c r="D12" s="9"/>
    </row>
    <row r="13" spans="2:4" ht="18.75" x14ac:dyDescent="0.25">
      <c r="B13" s="26" t="s">
        <v>0</v>
      </c>
      <c r="C13" s="27"/>
      <c r="D13" s="29"/>
    </row>
    <row r="14" spans="2:4" ht="15.75" x14ac:dyDescent="0.25">
      <c r="B14" s="54" t="s">
        <v>25</v>
      </c>
      <c r="C14" s="55"/>
      <c r="D14" s="10">
        <f>$D$9*30%</f>
        <v>30000</v>
      </c>
    </row>
    <row r="15" spans="2:4" ht="15.75" x14ac:dyDescent="0.25">
      <c r="B15" s="56" t="s">
        <v>24</v>
      </c>
      <c r="C15" s="57"/>
      <c r="D15" s="11">
        <v>15</v>
      </c>
    </row>
    <row r="16" spans="2:4" ht="15.75" x14ac:dyDescent="0.25">
      <c r="B16" s="56" t="s">
        <v>26</v>
      </c>
      <c r="C16" s="57"/>
      <c r="D16" s="12">
        <v>1.0789999999999999E-2</v>
      </c>
    </row>
    <row r="17" spans="2:5" ht="15.75" x14ac:dyDescent="0.25">
      <c r="B17" s="56" t="s">
        <v>27</v>
      </c>
      <c r="C17" s="57"/>
      <c r="D17" s="3">
        <f>FV(D16,D15*12,D14*-1)</f>
        <v>16409357.894001627</v>
      </c>
    </row>
    <row r="18" spans="2:5" ht="16.5" thickBot="1" x14ac:dyDescent="0.3">
      <c r="B18" s="58" t="s">
        <v>28</v>
      </c>
      <c r="C18" s="59"/>
      <c r="D18" s="5">
        <f>D17*1%</f>
        <v>164093.57894001628</v>
      </c>
    </row>
    <row r="19" spans="2:5" ht="15.75" thickBot="1" x14ac:dyDescent="0.3">
      <c r="B19" s="9"/>
      <c r="C19" s="9"/>
      <c r="D19" s="9"/>
    </row>
    <row r="20" spans="2:5" ht="18" customHeight="1" thickBot="1" x14ac:dyDescent="0.3">
      <c r="B20" s="37" t="s">
        <v>1</v>
      </c>
      <c r="C20" s="38"/>
      <c r="D20" s="39" t="s">
        <v>2</v>
      </c>
      <c r="E20" s="1"/>
    </row>
    <row r="21" spans="2:5" ht="15.75" x14ac:dyDescent="0.25">
      <c r="B21" s="7" t="s">
        <v>29</v>
      </c>
      <c r="C21" s="15">
        <f>FV($D$16,2*12,$D$14*-1)</f>
        <v>816828.81892935652</v>
      </c>
      <c r="D21" s="16">
        <f>C21*$D$10</f>
        <v>8168.2881892935657</v>
      </c>
      <c r="E21" s="1"/>
    </row>
    <row r="22" spans="2:5" ht="15.75" x14ac:dyDescent="0.25">
      <c r="B22" s="7" t="s">
        <v>30</v>
      </c>
      <c r="C22" s="17">
        <f>FV($D$16,5*12,$D$14*-1)</f>
        <v>2513307.4199546291</v>
      </c>
      <c r="D22" s="18">
        <f>C22*$D$10</f>
        <v>25133.074199546292</v>
      </c>
      <c r="E22" s="1"/>
    </row>
    <row r="23" spans="2:5" ht="15.75" x14ac:dyDescent="0.25">
      <c r="B23" s="7" t="s">
        <v>31</v>
      </c>
      <c r="C23" s="17">
        <f>FV($D$16,10*12,$D$14*-1)</f>
        <v>7298526.3759051664</v>
      </c>
      <c r="D23" s="18">
        <f>C23*$D$10</f>
        <v>72985.263759051668</v>
      </c>
      <c r="E23" s="1"/>
    </row>
    <row r="24" spans="2:5" ht="15.75" x14ac:dyDescent="0.25">
      <c r="B24" s="7" t="s">
        <v>32</v>
      </c>
      <c r="C24" s="17">
        <f>FV($D$16,20*12,$D$14*-1)</f>
        <v>33755952.002912417</v>
      </c>
      <c r="D24" s="18">
        <f>C24*$D$10</f>
        <v>337559.52002912416</v>
      </c>
      <c r="E24" s="1"/>
    </row>
    <row r="25" spans="2:5" ht="16.5" thickBot="1" x14ac:dyDescent="0.3">
      <c r="B25" s="8" t="s">
        <v>33</v>
      </c>
      <c r="C25" s="19">
        <f>FV($D$16,30*12,$D$14*-1)</f>
        <v>129665089.65014143</v>
      </c>
      <c r="D25" s="20">
        <f>C25*$D$10</f>
        <v>1296650.8965014142</v>
      </c>
      <c r="E25" s="1"/>
    </row>
    <row r="26" spans="2:5" ht="15.75" thickBot="1" x14ac:dyDescent="0.3">
      <c r="B26" s="9"/>
      <c r="C26" s="9"/>
      <c r="D26" s="9"/>
    </row>
    <row r="27" spans="2:5" ht="19.5" thickBot="1" x14ac:dyDescent="0.35">
      <c r="B27" s="46" t="s">
        <v>6</v>
      </c>
      <c r="C27" s="47" t="s">
        <v>7</v>
      </c>
      <c r="D27" s="48"/>
    </row>
    <row r="28" spans="2:5" ht="16.5" thickBot="1" x14ac:dyDescent="0.3">
      <c r="B28" s="43" t="s">
        <v>10</v>
      </c>
      <c r="C28" s="44">
        <f>APORTES</f>
        <v>30000</v>
      </c>
      <c r="D28" s="45"/>
    </row>
    <row r="29" spans="2:5" ht="16.5" thickBot="1" x14ac:dyDescent="0.3">
      <c r="B29" s="23"/>
      <c r="C29" s="23"/>
      <c r="D29" s="23"/>
    </row>
    <row r="30" spans="2:5" ht="19.5" thickBot="1" x14ac:dyDescent="0.35">
      <c r="B30" s="40" t="s">
        <v>11</v>
      </c>
      <c r="C30" s="41" t="s">
        <v>12</v>
      </c>
      <c r="D30" s="42" t="s">
        <v>13</v>
      </c>
    </row>
    <row r="31" spans="2:5" ht="16.5" thickTop="1" x14ac:dyDescent="0.25">
      <c r="B31" s="49" t="s">
        <v>14</v>
      </c>
      <c r="C31" s="60">
        <f>VLOOKUP($C$27&amp;"-"&amp;B31,'Planilha 2'!$A$2:$D$20,4,FALSE)</f>
        <v>0.3</v>
      </c>
      <c r="D31" s="61">
        <f>C31*$C$28</f>
        <v>9000</v>
      </c>
    </row>
    <row r="32" spans="2:5" ht="15.75" x14ac:dyDescent="0.25">
      <c r="B32" s="50" t="s">
        <v>15</v>
      </c>
      <c r="C32" s="62">
        <f>VLOOKUP($C$27&amp;"-"&amp;B32,'Planilha 2'!$A$2:$D$20,4,FALSE)</f>
        <v>0.5</v>
      </c>
      <c r="D32" s="63">
        <f t="shared" ref="D32:D37" si="0">C32*$C$28</f>
        <v>15000</v>
      </c>
    </row>
    <row r="33" spans="2:4" ht="15.75" x14ac:dyDescent="0.25">
      <c r="B33" s="50" t="s">
        <v>16</v>
      </c>
      <c r="C33" s="62">
        <f>VLOOKUP($C$27&amp;"-"&amp;B33,'Planilha 2'!$A$2:$D$20,4,FALSE)</f>
        <v>0.1</v>
      </c>
      <c r="D33" s="63">
        <f t="shared" si="0"/>
        <v>3000</v>
      </c>
    </row>
    <row r="34" spans="2:4" ht="15.75" x14ac:dyDescent="0.25">
      <c r="B34" s="50" t="s">
        <v>17</v>
      </c>
      <c r="C34" s="62">
        <f>VLOOKUP($C$27&amp;"-"&amp;B34,'Planilha 2'!$A$2:$D$20,4,FALSE)</f>
        <v>0.1</v>
      </c>
      <c r="D34" s="63">
        <f t="shared" si="0"/>
        <v>3000</v>
      </c>
    </row>
    <row r="35" spans="2:4" ht="15.75" x14ac:dyDescent="0.25">
      <c r="B35" s="50" t="s">
        <v>18</v>
      </c>
      <c r="C35" s="62">
        <f>VLOOKUP($C$27&amp;"-"&amp;B35,'Planilha 2'!$A$2:$D$20,4,FALSE)</f>
        <v>0</v>
      </c>
      <c r="D35" s="63">
        <f t="shared" si="0"/>
        <v>0</v>
      </c>
    </row>
    <row r="36" spans="2:4" ht="15.75" x14ac:dyDescent="0.25">
      <c r="B36" s="50" t="s">
        <v>19</v>
      </c>
      <c r="C36" s="62">
        <f>VLOOKUP($C$27&amp;"-"&amp;B36,'Planilha 2'!$A$2:$D$20,4,FALSE)</f>
        <v>0</v>
      </c>
      <c r="D36" s="63">
        <f t="shared" si="0"/>
        <v>0</v>
      </c>
    </row>
    <row r="37" spans="2:4" ht="16.5" thickBot="1" x14ac:dyDescent="0.3">
      <c r="B37" s="51"/>
      <c r="C37" s="52"/>
      <c r="D37" s="53">
        <f>SUM(D31:D36)</f>
        <v>30000</v>
      </c>
    </row>
  </sheetData>
  <mergeCells count="9">
    <mergeCell ref="B8:C8"/>
    <mergeCell ref="B13:C13"/>
    <mergeCell ref="C27:D27"/>
    <mergeCell ref="B14:C14"/>
    <mergeCell ref="B15:C15"/>
    <mergeCell ref="B16:C16"/>
    <mergeCell ref="B17:C17"/>
    <mergeCell ref="B18:C18"/>
    <mergeCell ref="B20:C20"/>
  </mergeCells>
  <dataValidations count="1">
    <dataValidation type="list" allowBlank="1" showInputMessage="1" showErrorMessage="1" sqref="C27" xr:uid="{B827F706-C552-4E3C-8A8A-467ED823707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BFED-2396-495D-B80D-92F7E24CF4DA}">
  <dimension ref="A2:D20"/>
  <sheetViews>
    <sheetView workbookViewId="0">
      <selection activeCell="D13" sqref="D13"/>
    </sheetView>
  </sheetViews>
  <sheetFormatPr defaultRowHeight="15" x14ac:dyDescent="0.25"/>
  <cols>
    <col min="1" max="1" width="33" bestFit="1" customWidth="1"/>
    <col min="2" max="2" width="25.140625" bestFit="1" customWidth="1"/>
    <col min="3" max="3" width="20.85546875" bestFit="1" customWidth="1"/>
    <col min="4" max="4" width="13.7109375" bestFit="1" customWidth="1"/>
  </cols>
  <sheetData>
    <row r="2" spans="1:4" ht="15.75" x14ac:dyDescent="0.25">
      <c r="A2" s="30" t="s">
        <v>22</v>
      </c>
      <c r="B2" s="30" t="s">
        <v>6</v>
      </c>
      <c r="C2" s="30" t="s">
        <v>20</v>
      </c>
      <c r="D2" s="30" t="s">
        <v>21</v>
      </c>
    </row>
    <row r="3" spans="1:4" x14ac:dyDescent="0.25">
      <c r="A3" s="32" t="str">
        <f>B3&amp;"-"&amp;C3</f>
        <v>AGRESSIVO-PAPEL</v>
      </c>
      <c r="B3" s="32" t="s">
        <v>7</v>
      </c>
      <c r="C3" s="32" t="s">
        <v>14</v>
      </c>
      <c r="D3" s="34">
        <v>0.3</v>
      </c>
    </row>
    <row r="4" spans="1:4" x14ac:dyDescent="0.25">
      <c r="A4" s="32" t="str">
        <f t="shared" ref="A4:A20" si="0">B4&amp;"-"&amp;C4</f>
        <v>AGRESSIVO-TIJOLO</v>
      </c>
      <c r="B4" s="32" t="s">
        <v>7</v>
      </c>
      <c r="C4" s="32" t="s">
        <v>15</v>
      </c>
      <c r="D4" s="34">
        <v>0.5</v>
      </c>
    </row>
    <row r="5" spans="1:4" x14ac:dyDescent="0.25">
      <c r="A5" s="32" t="str">
        <f t="shared" si="0"/>
        <v>AGRESSIVO-HÍBRIDOS</v>
      </c>
      <c r="B5" s="32" t="s">
        <v>7</v>
      </c>
      <c r="C5" s="32" t="s">
        <v>16</v>
      </c>
      <c r="D5" s="34">
        <v>0.1</v>
      </c>
    </row>
    <row r="6" spans="1:4" x14ac:dyDescent="0.25">
      <c r="A6" s="32" t="str">
        <f t="shared" si="0"/>
        <v>AGRESSIVO-FOFs</v>
      </c>
      <c r="B6" s="32" t="s">
        <v>7</v>
      </c>
      <c r="C6" s="32" t="s">
        <v>17</v>
      </c>
      <c r="D6" s="34">
        <v>0.1</v>
      </c>
    </row>
    <row r="7" spans="1:4" x14ac:dyDescent="0.25">
      <c r="A7" s="32" t="str">
        <f t="shared" si="0"/>
        <v>AGRESSIVO-DESENVOLVIMENTO</v>
      </c>
      <c r="B7" s="32" t="s">
        <v>7</v>
      </c>
      <c r="C7" s="32" t="s">
        <v>18</v>
      </c>
      <c r="D7" s="34">
        <v>0</v>
      </c>
    </row>
    <row r="8" spans="1:4" ht="15.75" thickBot="1" x14ac:dyDescent="0.3">
      <c r="A8" s="33" t="str">
        <f t="shared" si="0"/>
        <v>AGRESSIVO-HOTELARIAS</v>
      </c>
      <c r="B8" s="33" t="s">
        <v>7</v>
      </c>
      <c r="C8" s="33" t="s">
        <v>19</v>
      </c>
      <c r="D8" s="35">
        <v>0</v>
      </c>
    </row>
    <row r="9" spans="1:4" ht="15.75" thickTop="1" x14ac:dyDescent="0.25">
      <c r="A9" s="31" t="str">
        <f t="shared" si="0"/>
        <v>MODERADO-PAPEL</v>
      </c>
      <c r="B9" s="31" t="s">
        <v>8</v>
      </c>
      <c r="C9" s="31" t="s">
        <v>14</v>
      </c>
      <c r="D9" s="36">
        <v>0.32</v>
      </c>
    </row>
    <row r="10" spans="1:4" x14ac:dyDescent="0.25">
      <c r="A10" s="32" t="str">
        <f t="shared" si="0"/>
        <v>MODERADO-TIJOLO</v>
      </c>
      <c r="B10" s="32" t="s">
        <v>8</v>
      </c>
      <c r="C10" s="32" t="s">
        <v>15</v>
      </c>
      <c r="D10" s="35">
        <v>0.35</v>
      </c>
    </row>
    <row r="11" spans="1:4" x14ac:dyDescent="0.25">
      <c r="A11" s="32" t="str">
        <f t="shared" si="0"/>
        <v>MODERADO-HÍBRIDOS</v>
      </c>
      <c r="B11" s="32" t="s">
        <v>8</v>
      </c>
      <c r="C11" s="32" t="s">
        <v>16</v>
      </c>
      <c r="D11" s="35">
        <v>0.08</v>
      </c>
    </row>
    <row r="12" spans="1:4" x14ac:dyDescent="0.25">
      <c r="A12" s="32" t="str">
        <f t="shared" si="0"/>
        <v>MODERADO-FOFs</v>
      </c>
      <c r="B12" s="32" t="s">
        <v>8</v>
      </c>
      <c r="C12" s="32" t="s">
        <v>17</v>
      </c>
      <c r="D12" s="35">
        <v>0.05</v>
      </c>
    </row>
    <row r="13" spans="1:4" x14ac:dyDescent="0.25">
      <c r="A13" s="32" t="str">
        <f t="shared" si="0"/>
        <v>MODERADO-DESENVOLVIMENTO</v>
      </c>
      <c r="B13" s="32" t="s">
        <v>8</v>
      </c>
      <c r="C13" s="32" t="s">
        <v>18</v>
      </c>
      <c r="D13" s="35">
        <v>0.1</v>
      </c>
    </row>
    <row r="14" spans="1:4" ht="15.75" thickBot="1" x14ac:dyDescent="0.3">
      <c r="A14" s="33" t="str">
        <f t="shared" si="0"/>
        <v>MODERADO-HOTELARIAS</v>
      </c>
      <c r="B14" s="33" t="s">
        <v>8</v>
      </c>
      <c r="C14" s="33" t="s">
        <v>19</v>
      </c>
      <c r="D14" s="35">
        <v>0.1</v>
      </c>
    </row>
    <row r="15" spans="1:4" ht="15.75" thickTop="1" x14ac:dyDescent="0.25">
      <c r="A15" s="31" t="str">
        <f t="shared" si="0"/>
        <v>CONSERVADOR-PAPEL</v>
      </c>
      <c r="B15" s="31" t="s">
        <v>9</v>
      </c>
      <c r="C15" s="31" t="s">
        <v>14</v>
      </c>
      <c r="D15" s="36">
        <v>0.5</v>
      </c>
    </row>
    <row r="16" spans="1:4" x14ac:dyDescent="0.25">
      <c r="A16" s="32" t="str">
        <f t="shared" si="0"/>
        <v>CONSERVADOR-TIJOLO</v>
      </c>
      <c r="B16" s="32" t="s">
        <v>9</v>
      </c>
      <c r="C16" s="32" t="s">
        <v>15</v>
      </c>
      <c r="D16" s="35">
        <v>0.1</v>
      </c>
    </row>
    <row r="17" spans="1:4" x14ac:dyDescent="0.25">
      <c r="A17" s="32" t="str">
        <f t="shared" si="0"/>
        <v>CONSERVADOR-HÍBRIDOS</v>
      </c>
      <c r="B17" s="32" t="s">
        <v>9</v>
      </c>
      <c r="C17" s="32" t="s">
        <v>16</v>
      </c>
      <c r="D17" s="35">
        <v>0.05</v>
      </c>
    </row>
    <row r="18" spans="1:4" x14ac:dyDescent="0.25">
      <c r="A18" s="32" t="str">
        <f t="shared" si="0"/>
        <v>CONSERVADOR-FOFs</v>
      </c>
      <c r="B18" s="32" t="s">
        <v>9</v>
      </c>
      <c r="C18" s="32" t="s">
        <v>17</v>
      </c>
      <c r="D18" s="35">
        <v>0.05</v>
      </c>
    </row>
    <row r="19" spans="1:4" x14ac:dyDescent="0.25">
      <c r="A19" s="32" t="str">
        <f t="shared" si="0"/>
        <v>CONSERVADOR-DESENVOLVIMENTO</v>
      </c>
      <c r="B19" s="32" t="s">
        <v>9</v>
      </c>
      <c r="C19" s="32" t="s">
        <v>18</v>
      </c>
      <c r="D19" s="35">
        <v>0.2</v>
      </c>
    </row>
    <row r="20" spans="1:4" x14ac:dyDescent="0.25">
      <c r="A20" s="32" t="str">
        <f t="shared" si="0"/>
        <v>CONSERVADOR-HOTELARIAS</v>
      </c>
      <c r="B20" s="32" t="s">
        <v>9</v>
      </c>
      <c r="C20" s="32" t="s">
        <v>19</v>
      </c>
      <c r="D20" s="3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APP</vt:lpstr>
      <vt:lpstr>Planilha 2</vt:lpstr>
      <vt:lpstr>APORTES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Windows-SSD</dc:creator>
  <cp:lastModifiedBy>Windows-SSD</cp:lastModifiedBy>
  <cp:lastPrinted>2026-01-12T04:48:14Z</cp:lastPrinted>
  <dcterms:created xsi:type="dcterms:W3CDTF">2026-01-12T00:18:04Z</dcterms:created>
  <dcterms:modified xsi:type="dcterms:W3CDTF">2026-01-12T04:55:45Z</dcterms:modified>
</cp:coreProperties>
</file>